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filterPrivacy="1" defaultThemeVersion="124226"/>
  <xr:revisionPtr revIDLastSave="0" documentId="13_ncr:1_{6276366C-741C-4AFD-850F-68875F9A118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Лист1" sheetId="2" r:id="rId1"/>
    <sheet name="Лист2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15" i="3" l="1"/>
  <c r="O15" i="3"/>
  <c r="N15" i="3"/>
  <c r="M15" i="3"/>
  <c r="L15" i="3"/>
  <c r="K15" i="3"/>
  <c r="J15" i="3"/>
  <c r="I15" i="3"/>
  <c r="H15" i="3"/>
  <c r="G15" i="3"/>
  <c r="F15" i="3"/>
  <c r="E15" i="3"/>
  <c r="D15" i="3"/>
  <c r="C15" i="3"/>
  <c r="B15" i="3"/>
  <c r="P14" i="3"/>
  <c r="O14" i="3"/>
  <c r="N14" i="3"/>
  <c r="M14" i="3"/>
  <c r="L14" i="3"/>
  <c r="K14" i="3"/>
  <c r="J14" i="3"/>
  <c r="I14" i="3"/>
  <c r="H14" i="3"/>
  <c r="G14" i="3"/>
  <c r="F14" i="3"/>
  <c r="E14" i="3"/>
  <c r="D14" i="3"/>
  <c r="C14" i="3"/>
  <c r="B14" i="3"/>
  <c r="P13" i="3"/>
  <c r="O13" i="3"/>
  <c r="N13" i="3"/>
  <c r="M13" i="3"/>
  <c r="L13" i="3"/>
  <c r="K13" i="3"/>
  <c r="J13" i="3"/>
  <c r="I13" i="3"/>
  <c r="H13" i="3"/>
  <c r="G13" i="3"/>
  <c r="F13" i="3"/>
  <c r="E13" i="3"/>
  <c r="D13" i="3"/>
  <c r="C13" i="3"/>
  <c r="B13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B15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B14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B13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B12" i="2"/>
</calcChain>
</file>

<file path=xl/sharedStrings.xml><?xml version="1.0" encoding="utf-8"?>
<sst xmlns="http://schemas.openxmlformats.org/spreadsheetml/2006/main" count="102" uniqueCount="60">
  <si>
    <t>Направление</t>
  </si>
  <si>
    <t>Влк-Хбр</t>
  </si>
  <si>
    <t>Влк-Комс</t>
  </si>
  <si>
    <t>Влк-Блг</t>
  </si>
  <si>
    <t>Усс-Хбр</t>
  </si>
  <si>
    <t>Усс-Комс</t>
  </si>
  <si>
    <t>Усс-Блг</t>
  </si>
  <si>
    <t>Хбр-Влк</t>
  </si>
  <si>
    <t>Хбр-Усс</t>
  </si>
  <si>
    <t>Хбр-Блг</t>
  </si>
  <si>
    <t>Хбр-Комс</t>
  </si>
  <si>
    <t>Блг-Хбр</t>
  </si>
  <si>
    <t>Блг-Комс</t>
  </si>
  <si>
    <t>Блг-Влк</t>
  </si>
  <si>
    <t>Кмс-Влк</t>
  </si>
  <si>
    <t>Кмс-Хбр</t>
  </si>
  <si>
    <t>Тяжелый груз (руб/1кг)</t>
  </si>
  <si>
    <t>до 1000кг</t>
  </si>
  <si>
    <t>от 1000кг до 5000кг</t>
  </si>
  <si>
    <t>от 5000кг до 10000кг</t>
  </si>
  <si>
    <t>от 10000кг до 15000кг</t>
  </si>
  <si>
    <t>Минимально за мелкий груз</t>
  </si>
  <si>
    <t>Подача а/м на погрузку/выгрузку</t>
  </si>
  <si>
    <t>Бесплатно</t>
  </si>
  <si>
    <t>Смотреть пункт №2</t>
  </si>
  <si>
    <t>1. Стоимость грузоперевозок по направлениям</t>
  </si>
  <si>
    <t>документы (конверт) до 0,5кг</t>
  </si>
  <si>
    <t>до 5м3</t>
  </si>
  <si>
    <t>2. Стоимость грузоперевозок по городу:</t>
  </si>
  <si>
    <t>3. Примечание</t>
  </si>
  <si>
    <r>
      <t>Груз считается легким, если 1 т груза &gt; 5 м</t>
    </r>
    <r>
      <rPr>
        <i/>
        <vertAlign val="superscript"/>
        <sz val="14"/>
        <color rgb="FF000000"/>
        <rFont val="Times New Roman"/>
        <family val="1"/>
        <charset val="204"/>
      </rPr>
      <t>3</t>
    </r>
  </si>
  <si>
    <r>
      <t>При перевозке негабаритного груза стоимость за услуги увеличивается на 30%, негабаритным груз считается, если объем одного места превышает 1 м</t>
    </r>
    <r>
      <rPr>
        <i/>
        <vertAlign val="superscript"/>
        <sz val="14"/>
        <color rgb="FF000000"/>
        <rFont val="Times New Roman"/>
        <family val="1"/>
        <charset val="204"/>
      </rPr>
      <t>3</t>
    </r>
    <r>
      <rPr>
        <i/>
        <sz val="14"/>
        <color rgb="FF000000"/>
        <rFont val="Times New Roman"/>
        <family val="1"/>
        <charset val="204"/>
      </rPr>
      <t xml:space="preserve"> или одна из линейных величин (высота, длина, ширина) превышает 1 м, а также места, которые по своим размерам и свойствам без затруднений не могут быть загружены и размещены в транспортном средстве.</t>
    </r>
  </si>
  <si>
    <r>
      <t>машина грузоподъемностью до 5 т / 25 м</t>
    </r>
    <r>
      <rPr>
        <i/>
        <vertAlign val="superscript"/>
        <sz val="18"/>
        <color rgb="FF000000"/>
        <rFont val="Times New Roman"/>
        <family val="1"/>
        <charset val="204"/>
      </rPr>
      <t>3</t>
    </r>
  </si>
  <si>
    <r>
      <t>машина грузоподъемностью до 10 т / 45 м</t>
    </r>
    <r>
      <rPr>
        <i/>
        <vertAlign val="superscript"/>
        <sz val="18"/>
        <color theme="1"/>
        <rFont val="Times New Roman"/>
        <family val="1"/>
        <charset val="204"/>
      </rPr>
      <t>3</t>
    </r>
  </si>
  <si>
    <r>
      <t>машина с прицепом грузоподъемностью &gt; 10 т (от 45 м</t>
    </r>
    <r>
      <rPr>
        <i/>
        <vertAlign val="superscript"/>
        <sz val="18"/>
        <color rgb="FF000000"/>
        <rFont val="Times New Roman"/>
        <family val="1"/>
        <charset val="204"/>
      </rPr>
      <t>3</t>
    </r>
    <r>
      <rPr>
        <i/>
        <sz val="18"/>
        <color rgb="FF000000"/>
        <rFont val="Times New Roman"/>
        <family val="1"/>
        <charset val="204"/>
      </rPr>
      <t xml:space="preserve"> до 90м</t>
    </r>
    <r>
      <rPr>
        <i/>
        <vertAlign val="superscript"/>
        <sz val="18"/>
        <color rgb="FF000000"/>
        <rFont val="Times New Roman"/>
        <family val="1"/>
        <charset val="204"/>
      </rPr>
      <t>3</t>
    </r>
    <r>
      <rPr>
        <i/>
        <sz val="18"/>
        <color rgb="FF000000"/>
        <rFont val="Times New Roman"/>
        <family val="1"/>
        <charset val="204"/>
      </rPr>
      <t>)</t>
    </r>
  </si>
  <si>
    <t>Машинорейс (тыс.руб.)</t>
  </si>
  <si>
    <r>
      <t>Легкий груз (руб/1м</t>
    </r>
    <r>
      <rPr>
        <b/>
        <i/>
        <vertAlign val="superscript"/>
        <sz val="18"/>
        <rFont val="Times New Roman"/>
        <family val="1"/>
        <charset val="204"/>
      </rPr>
      <t>3</t>
    </r>
    <r>
      <rPr>
        <b/>
        <i/>
        <sz val="18"/>
        <rFont val="Times New Roman"/>
        <family val="1"/>
        <charset val="204"/>
      </rPr>
      <t>)</t>
    </r>
  </si>
  <si>
    <r>
      <t>от 5м</t>
    </r>
    <r>
      <rPr>
        <b/>
        <i/>
        <vertAlign val="superscript"/>
        <sz val="18"/>
        <rFont val="Times New Roman"/>
        <family val="1"/>
        <charset val="204"/>
      </rPr>
      <t>3</t>
    </r>
    <r>
      <rPr>
        <b/>
        <i/>
        <sz val="18"/>
        <rFont val="Times New Roman"/>
        <family val="1"/>
        <charset val="204"/>
      </rPr>
      <t xml:space="preserve"> до 25м</t>
    </r>
    <r>
      <rPr>
        <b/>
        <i/>
        <vertAlign val="superscript"/>
        <sz val="18"/>
        <rFont val="Times New Roman"/>
        <family val="1"/>
        <charset val="204"/>
      </rPr>
      <t>3</t>
    </r>
  </si>
  <si>
    <r>
      <t>от 25м</t>
    </r>
    <r>
      <rPr>
        <b/>
        <i/>
        <vertAlign val="superscript"/>
        <sz val="18"/>
        <rFont val="Times New Roman"/>
        <family val="1"/>
        <charset val="204"/>
      </rPr>
      <t>3</t>
    </r>
    <r>
      <rPr>
        <b/>
        <i/>
        <sz val="18"/>
        <rFont val="Times New Roman"/>
        <family val="1"/>
        <charset val="204"/>
      </rPr>
      <t xml:space="preserve"> до 50м</t>
    </r>
    <r>
      <rPr>
        <b/>
        <i/>
        <vertAlign val="superscript"/>
        <sz val="18"/>
        <rFont val="Times New Roman"/>
        <family val="1"/>
        <charset val="204"/>
      </rPr>
      <t>3</t>
    </r>
  </si>
  <si>
    <r>
      <t>от 50м</t>
    </r>
    <r>
      <rPr>
        <b/>
        <i/>
        <vertAlign val="superscript"/>
        <sz val="18"/>
        <rFont val="Times New Roman"/>
        <family val="1"/>
        <charset val="204"/>
      </rPr>
      <t>3</t>
    </r>
    <r>
      <rPr>
        <b/>
        <i/>
        <sz val="18"/>
        <rFont val="Times New Roman"/>
        <family val="1"/>
        <charset val="204"/>
      </rPr>
      <t xml:space="preserve"> до 75м</t>
    </r>
    <r>
      <rPr>
        <b/>
        <i/>
        <vertAlign val="superscript"/>
        <sz val="18"/>
        <rFont val="Times New Roman"/>
        <family val="1"/>
        <charset val="204"/>
      </rPr>
      <t>3</t>
    </r>
  </si>
  <si>
    <r>
      <t>15000-19000кг/75-85м</t>
    </r>
    <r>
      <rPr>
        <b/>
        <i/>
        <vertAlign val="superscript"/>
        <sz val="18"/>
        <rFont val="Times New Roman"/>
        <family val="1"/>
        <charset val="204"/>
      </rPr>
      <t>3</t>
    </r>
  </si>
  <si>
    <r>
      <t>от 8000кг и от 40м</t>
    </r>
    <r>
      <rPr>
        <b/>
        <i/>
        <vertAlign val="superscript"/>
        <sz val="18"/>
        <rFont val="Times New Roman"/>
        <family val="1"/>
        <charset val="204"/>
      </rPr>
      <t>3</t>
    </r>
  </si>
  <si>
    <r>
      <t>до 8000кг и до 40м</t>
    </r>
    <r>
      <rPr>
        <b/>
        <i/>
        <vertAlign val="superscript"/>
        <sz val="18"/>
        <rFont val="Times New Roman"/>
        <family val="1"/>
        <charset val="204"/>
      </rPr>
      <t>3</t>
    </r>
  </si>
  <si>
    <t xml:space="preserve"> – 3000 руб/час</t>
  </si>
  <si>
    <t xml:space="preserve"> – 4500 руб/час</t>
  </si>
  <si>
    <t xml:space="preserve"> – 6000 руб/час</t>
  </si>
  <si>
    <r>
      <t>от 1кг до 50кг (0,25м</t>
    </r>
    <r>
      <rPr>
        <b/>
        <i/>
        <vertAlign val="superscript"/>
        <sz val="18"/>
        <color rgb="FFFF0000"/>
        <rFont val="Times New Roman"/>
        <family val="1"/>
        <charset val="204"/>
      </rPr>
      <t>3</t>
    </r>
    <r>
      <rPr>
        <b/>
        <i/>
        <sz val="18"/>
        <color rgb="FFFF0000"/>
        <rFont val="Times New Roman"/>
        <family val="1"/>
        <charset val="204"/>
      </rPr>
      <t>)</t>
    </r>
  </si>
  <si>
    <r>
      <t>от 50кг (0,25м</t>
    </r>
    <r>
      <rPr>
        <b/>
        <i/>
        <vertAlign val="superscript"/>
        <sz val="18"/>
        <color rgb="FFFF0000"/>
        <rFont val="Times New Roman"/>
        <family val="1"/>
        <charset val="204"/>
      </rPr>
      <t>3</t>
    </r>
    <r>
      <rPr>
        <b/>
        <i/>
        <sz val="18"/>
        <color rgb="FFFF0000"/>
        <rFont val="Times New Roman"/>
        <family val="1"/>
        <charset val="204"/>
      </rPr>
      <t>) до 100кг (0,5м</t>
    </r>
    <r>
      <rPr>
        <b/>
        <i/>
        <vertAlign val="superscript"/>
        <sz val="18"/>
        <color rgb="FFFF0000"/>
        <rFont val="Times New Roman"/>
        <family val="1"/>
        <charset val="204"/>
      </rPr>
      <t>3</t>
    </r>
    <r>
      <rPr>
        <b/>
        <i/>
        <sz val="18"/>
        <color rgb="FFFF0000"/>
        <rFont val="Times New Roman"/>
        <family val="1"/>
        <charset val="204"/>
      </rPr>
      <t>)</t>
    </r>
  </si>
  <si>
    <r>
      <t>Норматив погрузки/выгрузки составляет 5 т (25 м</t>
    </r>
    <r>
      <rPr>
        <i/>
        <vertAlign val="superscript"/>
        <sz val="14"/>
        <color rgb="FFFF0000"/>
        <rFont val="Times New Roman"/>
        <family val="1"/>
        <charset val="204"/>
      </rPr>
      <t>3</t>
    </r>
    <r>
      <rPr>
        <i/>
        <sz val="14"/>
        <color rgb="FFFF0000"/>
        <rFont val="Times New Roman"/>
        <family val="1"/>
        <charset val="204"/>
      </rPr>
      <t>) в час. При превышении данного норматива взимается дополнительая плата за простой машины под погрузкой/выгрузкой в размере</t>
    </r>
    <r>
      <rPr>
        <b/>
        <i/>
        <sz val="14"/>
        <color rgb="FFFF0000"/>
        <rFont val="Times New Roman"/>
        <family val="1"/>
        <charset val="204"/>
      </rPr>
      <t xml:space="preserve"> 5000 руб/час.</t>
    </r>
  </si>
  <si>
    <t>Договорная Стоимость</t>
  </si>
  <si>
    <r>
      <t>ПРАЙС ПО НАПРАВЛЕНИЯМ С 01.01.2026г. В РУБЛЯХ ЗА КГ/М</t>
    </r>
    <r>
      <rPr>
        <b/>
        <i/>
        <vertAlign val="superscript"/>
        <sz val="20"/>
        <color theme="1"/>
        <rFont val="Calibri"/>
        <family val="2"/>
        <charset val="204"/>
        <scheme val="minor"/>
      </rPr>
      <t>3</t>
    </r>
    <r>
      <rPr>
        <b/>
        <i/>
        <sz val="20"/>
        <color theme="1"/>
        <rFont val="Calibri"/>
        <family val="2"/>
        <charset val="204"/>
        <scheme val="minor"/>
      </rPr>
      <t xml:space="preserve"> </t>
    </r>
    <r>
      <rPr>
        <b/>
        <i/>
        <sz val="20"/>
        <color rgb="FFFF0000"/>
        <rFont val="Calibri"/>
        <family val="2"/>
        <charset val="204"/>
        <scheme val="minor"/>
      </rPr>
      <t>C</t>
    </r>
    <r>
      <rPr>
        <b/>
        <i/>
        <sz val="20"/>
        <color rgb="FFFF0000"/>
        <rFont val="VMIIT+TimesNewRomanPSMT"/>
        <charset val="204"/>
      </rPr>
      <t xml:space="preserve"> НДС 5%</t>
    </r>
  </si>
  <si>
    <r>
      <t>ПРАЙС ПО НАПРАВЛЕНИЯМ С 01.01.2026г. В РУБЛЯХ ЗА КГ/М</t>
    </r>
    <r>
      <rPr>
        <b/>
        <i/>
        <vertAlign val="superscript"/>
        <sz val="20"/>
        <rFont val="Calibri"/>
        <family val="2"/>
        <charset val="204"/>
        <scheme val="minor"/>
      </rPr>
      <t>3</t>
    </r>
    <r>
      <rPr>
        <b/>
        <i/>
        <sz val="20"/>
        <rFont val="Calibri"/>
        <family val="2"/>
        <charset val="204"/>
        <scheme val="minor"/>
      </rPr>
      <t xml:space="preserve"> C</t>
    </r>
    <r>
      <rPr>
        <b/>
        <i/>
        <sz val="20"/>
        <rFont val="VMIIT+TimesNewRomanPSMT"/>
        <charset val="204"/>
      </rPr>
      <t xml:space="preserve"> НДС 5%</t>
    </r>
  </si>
  <si>
    <r>
      <t>от 1кг до 50кг (0,25м</t>
    </r>
    <r>
      <rPr>
        <b/>
        <i/>
        <vertAlign val="superscript"/>
        <sz val="18"/>
        <rFont val="Times New Roman"/>
        <family val="1"/>
        <charset val="204"/>
      </rPr>
      <t>3</t>
    </r>
    <r>
      <rPr>
        <b/>
        <i/>
        <sz val="18"/>
        <rFont val="Times New Roman"/>
        <family val="1"/>
        <charset val="204"/>
      </rPr>
      <t>)</t>
    </r>
  </si>
  <si>
    <r>
      <t>от 50кг (0,25м</t>
    </r>
    <r>
      <rPr>
        <b/>
        <i/>
        <vertAlign val="superscript"/>
        <sz val="18"/>
        <rFont val="Times New Roman"/>
        <family val="1"/>
        <charset val="204"/>
      </rPr>
      <t>3</t>
    </r>
    <r>
      <rPr>
        <b/>
        <i/>
        <sz val="18"/>
        <rFont val="Times New Roman"/>
        <family val="1"/>
        <charset val="204"/>
      </rPr>
      <t>) до 100кг (0,5м</t>
    </r>
    <r>
      <rPr>
        <b/>
        <i/>
        <vertAlign val="superscript"/>
        <sz val="18"/>
        <rFont val="Times New Roman"/>
        <family val="1"/>
        <charset val="204"/>
      </rPr>
      <t>3</t>
    </r>
    <r>
      <rPr>
        <b/>
        <i/>
        <sz val="18"/>
        <rFont val="Times New Roman"/>
        <family val="1"/>
        <charset val="204"/>
      </rPr>
      <t>)</t>
    </r>
  </si>
  <si>
    <r>
      <t>машина грузоподъемностью до 5 т / 25 м</t>
    </r>
    <r>
      <rPr>
        <i/>
        <vertAlign val="superscript"/>
        <sz val="18"/>
        <rFont val="Times New Roman"/>
        <family val="1"/>
        <charset val="204"/>
      </rPr>
      <t>3</t>
    </r>
  </si>
  <si>
    <r>
      <t>машина грузоподъемностью до 10 т / 45 м</t>
    </r>
    <r>
      <rPr>
        <i/>
        <vertAlign val="superscript"/>
        <sz val="18"/>
        <rFont val="Times New Roman"/>
        <family val="1"/>
        <charset val="204"/>
      </rPr>
      <t>3</t>
    </r>
  </si>
  <si>
    <r>
      <t>машина с прицепом грузоподъемностью &gt; 10 т (от 45 м</t>
    </r>
    <r>
      <rPr>
        <i/>
        <vertAlign val="superscript"/>
        <sz val="18"/>
        <rFont val="Times New Roman"/>
        <family val="1"/>
        <charset val="204"/>
      </rPr>
      <t>3</t>
    </r>
    <r>
      <rPr>
        <i/>
        <sz val="18"/>
        <rFont val="Times New Roman"/>
        <family val="1"/>
        <charset val="204"/>
      </rPr>
      <t xml:space="preserve"> до 90м</t>
    </r>
    <r>
      <rPr>
        <i/>
        <vertAlign val="superscript"/>
        <sz val="18"/>
        <rFont val="Times New Roman"/>
        <family val="1"/>
        <charset val="204"/>
      </rPr>
      <t>3</t>
    </r>
    <r>
      <rPr>
        <i/>
        <sz val="18"/>
        <rFont val="Times New Roman"/>
        <family val="1"/>
        <charset val="204"/>
      </rPr>
      <t>)</t>
    </r>
  </si>
  <si>
    <r>
      <t>Груз считается легким, если 1 т груза &gt; 5 м</t>
    </r>
    <r>
      <rPr>
        <i/>
        <vertAlign val="superscript"/>
        <sz val="14"/>
        <rFont val="Times New Roman"/>
        <family val="1"/>
        <charset val="204"/>
      </rPr>
      <t>3</t>
    </r>
  </si>
  <si>
    <r>
      <t>При перевозке негабаритного груза стоимость за услуги увеличивается на 30%, негабаритным груз считается, если объем одного места превышает 1 м</t>
    </r>
    <r>
      <rPr>
        <i/>
        <vertAlign val="superscript"/>
        <sz val="14"/>
        <rFont val="Times New Roman"/>
        <family val="1"/>
        <charset val="204"/>
      </rPr>
      <t>3</t>
    </r>
    <r>
      <rPr>
        <i/>
        <sz val="14"/>
        <rFont val="Times New Roman"/>
        <family val="1"/>
        <charset val="204"/>
      </rPr>
      <t xml:space="preserve"> или одна из линейных величин (высота, длина, ширина) превышает 1 м, а также места, которые по своим размерам и свойствам без затруднений не могут быть загружены и размещены в транспортном средстве.</t>
    </r>
  </si>
  <si>
    <r>
      <t>Норматив погрузки/выгрузки составляет 5 т (25 м</t>
    </r>
    <r>
      <rPr>
        <i/>
        <vertAlign val="superscript"/>
        <sz val="14"/>
        <rFont val="Times New Roman"/>
        <family val="1"/>
        <charset val="204"/>
      </rPr>
      <t>3</t>
    </r>
    <r>
      <rPr>
        <i/>
        <sz val="14"/>
        <rFont val="Times New Roman"/>
        <family val="1"/>
        <charset val="204"/>
      </rPr>
      <t>) в час. При превышении данного норматива взимается дополнительая плата за простой машины под погрузкой/выгрузкой в размере</t>
    </r>
    <r>
      <rPr>
        <b/>
        <i/>
        <sz val="14"/>
        <rFont val="Times New Roman"/>
        <family val="1"/>
        <charset val="204"/>
      </rPr>
      <t xml:space="preserve"> 5000 руб/час.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</si>
</sst>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р_._-;\-* #,##0.00\ _р_._-;_-* &quot;-&quot;??\ _р_._-;_-@_-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4"/>
      <color theme="1"/>
      <name val="Calibri"/>
      <family val="2"/>
      <scheme val="minor"/>
    </font>
    <font>
      <i/>
      <sz val="14"/>
      <color rgb="FF000000"/>
      <name val="Times New Roman"/>
      <family val="1"/>
      <charset val="204"/>
    </font>
    <font>
      <i/>
      <vertAlign val="superscript"/>
      <sz val="14"/>
      <color rgb="FF000000"/>
      <name val="Times New Roman"/>
      <family val="1"/>
      <charset val="204"/>
    </font>
    <font>
      <b/>
      <sz val="18"/>
      <color theme="1"/>
      <name val="Times New Roman"/>
      <family val="1"/>
      <charset val="204"/>
    </font>
    <font>
      <sz val="18"/>
      <color theme="1"/>
      <name val="Calibri"/>
      <family val="2"/>
      <scheme val="minor"/>
    </font>
    <font>
      <sz val="18"/>
      <color theme="1"/>
      <name val="Calibri"/>
      <family val="2"/>
      <charset val="204"/>
      <scheme val="minor"/>
    </font>
    <font>
      <b/>
      <i/>
      <sz val="18"/>
      <color theme="1"/>
      <name val="Times New Roman"/>
      <family val="1"/>
      <charset val="204"/>
    </font>
    <font>
      <sz val="18"/>
      <color theme="1"/>
      <name val="Times New Roman"/>
      <family val="1"/>
      <charset val="204"/>
    </font>
    <font>
      <b/>
      <i/>
      <sz val="20"/>
      <color theme="1"/>
      <name val="VMIIT+TimesNewRomanPSMT"/>
    </font>
    <font>
      <b/>
      <i/>
      <vertAlign val="superscript"/>
      <sz val="20"/>
      <color theme="1"/>
      <name val="Calibri"/>
      <family val="2"/>
      <charset val="204"/>
      <scheme val="minor"/>
    </font>
    <font>
      <b/>
      <i/>
      <sz val="20"/>
      <color theme="1"/>
      <name val="Calibri"/>
      <family val="2"/>
      <charset val="204"/>
      <scheme val="minor"/>
    </font>
    <font>
      <b/>
      <sz val="18"/>
      <color rgb="FF000000"/>
      <name val="Times New Roman"/>
      <family val="1"/>
      <charset val="204"/>
    </font>
    <font>
      <i/>
      <sz val="18"/>
      <color rgb="FF000000"/>
      <name val="Times New Roman"/>
      <family val="1"/>
      <charset val="204"/>
    </font>
    <font>
      <i/>
      <vertAlign val="superscript"/>
      <sz val="18"/>
      <color rgb="FF000000"/>
      <name val="Times New Roman"/>
      <family val="1"/>
      <charset val="204"/>
    </font>
    <font>
      <i/>
      <sz val="18"/>
      <color theme="1"/>
      <name val="Times New Roman"/>
      <family val="1"/>
      <charset val="204"/>
    </font>
    <font>
      <i/>
      <vertAlign val="superscript"/>
      <sz val="18"/>
      <color theme="1"/>
      <name val="Times New Roman"/>
      <family val="1"/>
      <charset val="204"/>
    </font>
    <font>
      <b/>
      <i/>
      <sz val="18"/>
      <name val="Times New Roman"/>
      <family val="1"/>
      <charset val="204"/>
    </font>
    <font>
      <sz val="18"/>
      <name val="Times New Roman"/>
      <family val="1"/>
      <charset val="204"/>
    </font>
    <font>
      <b/>
      <i/>
      <vertAlign val="superscript"/>
      <sz val="18"/>
      <name val="Times New Roman"/>
      <family val="1"/>
      <charset val="204"/>
    </font>
    <font>
      <sz val="14"/>
      <name val="Calibri"/>
      <family val="2"/>
      <charset val="204"/>
      <scheme val="minor"/>
    </font>
    <font>
      <sz val="14"/>
      <name val="Calibri"/>
      <family val="2"/>
      <scheme val="minor"/>
    </font>
    <font>
      <b/>
      <i/>
      <sz val="18"/>
      <color rgb="FFFF0000"/>
      <name val="Times New Roman"/>
      <family val="1"/>
      <charset val="204"/>
    </font>
    <font>
      <b/>
      <i/>
      <vertAlign val="superscript"/>
      <sz val="18"/>
      <color rgb="FFFF0000"/>
      <name val="Times New Roman"/>
      <family val="1"/>
      <charset val="204"/>
    </font>
    <font>
      <sz val="18"/>
      <color rgb="FFFF0000"/>
      <name val="Times New Roman"/>
      <family val="1"/>
      <charset val="204"/>
    </font>
    <font>
      <b/>
      <sz val="18"/>
      <color rgb="FFFF0000"/>
      <name val="Times New Roman"/>
      <family val="1"/>
      <charset val="204"/>
    </font>
    <font>
      <i/>
      <sz val="14"/>
      <color rgb="FFFF0000"/>
      <name val="Times New Roman"/>
      <family val="1"/>
      <charset val="204"/>
    </font>
    <font>
      <i/>
      <vertAlign val="superscript"/>
      <sz val="14"/>
      <color rgb="FFFF0000"/>
      <name val="Times New Roman"/>
      <family val="1"/>
      <charset val="204"/>
    </font>
    <font>
      <b/>
      <i/>
      <sz val="14"/>
      <color rgb="FFFF0000"/>
      <name val="Times New Roman"/>
      <family val="1"/>
      <charset val="204"/>
    </font>
    <font>
      <b/>
      <i/>
      <sz val="20"/>
      <color rgb="FFFF0000"/>
      <name val="VMIIT+TimesNewRomanPSMT"/>
      <charset val="204"/>
    </font>
    <font>
      <b/>
      <i/>
      <sz val="20"/>
      <color rgb="FFFF0000"/>
      <name val="Calibri"/>
      <family val="2"/>
      <charset val="204"/>
      <scheme val="minor"/>
    </font>
    <font>
      <b/>
      <i/>
      <sz val="20"/>
      <name val="VMIIT+TimesNewRomanPSMT"/>
    </font>
    <font>
      <b/>
      <i/>
      <vertAlign val="superscript"/>
      <sz val="20"/>
      <name val="Calibri"/>
      <family val="2"/>
      <charset val="204"/>
      <scheme val="minor"/>
    </font>
    <font>
      <b/>
      <i/>
      <sz val="20"/>
      <name val="Calibri"/>
      <family val="2"/>
      <charset val="204"/>
      <scheme val="minor"/>
    </font>
    <font>
      <b/>
      <i/>
      <sz val="20"/>
      <name val="VMIIT+TimesNewRomanPSMT"/>
      <charset val="204"/>
    </font>
    <font>
      <sz val="11"/>
      <name val="Calibri"/>
      <family val="2"/>
      <scheme val="minor"/>
    </font>
    <font>
      <sz val="11"/>
      <name val="Times New Roman"/>
      <family val="1"/>
      <charset val="204"/>
    </font>
    <font>
      <b/>
      <sz val="18"/>
      <name val="Times New Roman"/>
      <family val="1"/>
      <charset val="204"/>
    </font>
    <font>
      <sz val="18"/>
      <name val="Calibri"/>
      <family val="2"/>
      <scheme val="minor"/>
    </font>
    <font>
      <sz val="18"/>
      <name val="Calibri"/>
      <family val="2"/>
      <charset val="204"/>
      <scheme val="minor"/>
    </font>
    <font>
      <i/>
      <sz val="18"/>
      <name val="Times New Roman"/>
      <family val="1"/>
      <charset val="204"/>
    </font>
    <font>
      <i/>
      <vertAlign val="superscript"/>
      <sz val="18"/>
      <name val="Times New Roman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i/>
      <sz val="14"/>
      <name val="Times New Roman"/>
      <family val="1"/>
      <charset val="204"/>
    </font>
    <font>
      <i/>
      <vertAlign val="superscript"/>
      <sz val="14"/>
      <name val="Times New Roman"/>
      <family val="1"/>
      <charset val="204"/>
    </font>
    <font>
      <b/>
      <i/>
      <sz val="14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9">
    <xf numFmtId="0" fontId="0" fillId="0" borderId="0" xfId="0"/>
    <xf numFmtId="0" fontId="2" fillId="0" borderId="0" xfId="0" applyFont="1" applyAlignment="1">
      <alignment horizontal="left" vertical="center" indent="2"/>
    </xf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8" fillId="0" borderId="0" xfId="0" applyFont="1" applyAlignment="1">
      <alignment horizontal="left" vertical="center"/>
    </xf>
    <xf numFmtId="0" fontId="9" fillId="0" borderId="0" xfId="0" applyFont="1"/>
    <xf numFmtId="0" fontId="10" fillId="0" borderId="0" xfId="0" applyFont="1" applyAlignment="1">
      <alignment vertical="center"/>
    </xf>
    <xf numFmtId="0" fontId="11" fillId="0" borderId="1" xfId="0" applyFont="1" applyBorder="1" applyAlignment="1">
      <alignment horizontal="center" vertical="center" wrapText="1"/>
    </xf>
    <xf numFmtId="0" fontId="16" fillId="0" borderId="0" xfId="0" applyFont="1" applyAlignment="1">
      <alignment horizontal="left" vertical="center"/>
    </xf>
    <xf numFmtId="0" fontId="9" fillId="0" borderId="0" xfId="0" applyFont="1" applyAlignment="1">
      <alignment horizontal="left"/>
    </xf>
    <xf numFmtId="0" fontId="17" fillId="0" borderId="0" xfId="0" applyFont="1" applyAlignment="1">
      <alignment horizontal="left" vertical="center"/>
    </xf>
    <xf numFmtId="0" fontId="12" fillId="0" borderId="0" xfId="0" applyFont="1" applyAlignment="1">
      <alignment horizontal="left"/>
    </xf>
    <xf numFmtId="0" fontId="19" fillId="0" borderId="0" xfId="0" applyFont="1" applyAlignment="1">
      <alignment horizontal="left" vertical="center"/>
    </xf>
    <xf numFmtId="0" fontId="8" fillId="0" borderId="0" xfId="0" applyFont="1" applyAlignment="1">
      <alignment horizontal="left"/>
    </xf>
    <xf numFmtId="0" fontId="11" fillId="0" borderId="3" xfId="0" applyFont="1" applyBorder="1" applyAlignment="1">
      <alignment horizontal="center" vertical="center" wrapText="1"/>
    </xf>
    <xf numFmtId="0" fontId="21" fillId="0" borderId="2" xfId="0" applyFont="1" applyFill="1" applyBorder="1" applyAlignment="1">
      <alignment horizontal="center" vertical="center" wrapText="1"/>
    </xf>
    <xf numFmtId="0" fontId="22" fillId="0" borderId="4" xfId="0" applyFont="1" applyFill="1" applyBorder="1" applyAlignment="1">
      <alignment horizontal="center" vertical="center" wrapText="1"/>
    </xf>
    <xf numFmtId="0" fontId="21" fillId="0" borderId="1" xfId="0" applyFont="1" applyFill="1" applyBorder="1" applyAlignment="1">
      <alignment horizontal="center" vertical="center" wrapText="1"/>
    </xf>
    <xf numFmtId="0" fontId="24" fillId="0" borderId="0" xfId="0" applyFont="1" applyFill="1" applyAlignment="1">
      <alignment vertical="center"/>
    </xf>
    <xf numFmtId="0" fontId="25" fillId="0" borderId="0" xfId="0" applyFont="1" applyFill="1"/>
    <xf numFmtId="0" fontId="26" fillId="0" borderId="2" xfId="0" applyFont="1" applyFill="1" applyBorder="1" applyAlignment="1">
      <alignment horizontal="center" vertical="center" wrapText="1"/>
    </xf>
    <xf numFmtId="0" fontId="28" fillId="0" borderId="4" xfId="0" applyFont="1" applyFill="1" applyBorder="1" applyAlignment="1">
      <alignment horizontal="center" vertical="center" wrapText="1"/>
    </xf>
    <xf numFmtId="0" fontId="28" fillId="0" borderId="1" xfId="0" applyFont="1" applyFill="1" applyBorder="1" applyAlignment="1">
      <alignment horizontal="center" vertical="center" wrapText="1"/>
    </xf>
    <xf numFmtId="0" fontId="29" fillId="0" borderId="0" xfId="0" applyFont="1" applyAlignment="1">
      <alignment horizontal="left"/>
    </xf>
    <xf numFmtId="0" fontId="39" fillId="0" borderId="0" xfId="0" applyFont="1"/>
    <xf numFmtId="0" fontId="40" fillId="0" borderId="0" xfId="0" applyFont="1" applyAlignment="1">
      <alignment horizontal="left" vertical="center" indent="2"/>
    </xf>
    <xf numFmtId="0" fontId="41" fillId="0" borderId="0" xfId="0" applyFont="1" applyAlignment="1">
      <alignment horizontal="left" vertical="center"/>
    </xf>
    <xf numFmtId="0" fontId="42" fillId="0" borderId="0" xfId="0" applyFont="1"/>
    <xf numFmtId="0" fontId="43" fillId="0" borderId="0" xfId="0" applyFont="1" applyAlignment="1">
      <alignment vertical="center"/>
    </xf>
    <xf numFmtId="0" fontId="42" fillId="0" borderId="0" xfId="0" applyFont="1" applyAlignment="1">
      <alignment horizontal="left"/>
    </xf>
    <xf numFmtId="0" fontId="25" fillId="0" borderId="0" xfId="0" applyFont="1" applyAlignment="1">
      <alignment horizontal="left"/>
    </xf>
    <xf numFmtId="0" fontId="44" fillId="0" borderId="0" xfId="0" applyFont="1" applyAlignment="1">
      <alignment horizontal="left" vertical="center"/>
    </xf>
    <xf numFmtId="0" fontId="22" fillId="0" borderId="0" xfId="0" applyFont="1" applyAlignment="1">
      <alignment horizontal="left"/>
    </xf>
    <xf numFmtId="0" fontId="46" fillId="0" borderId="0" xfId="0" applyFont="1" applyAlignment="1">
      <alignment horizontal="left" vertical="center"/>
    </xf>
    <xf numFmtId="0" fontId="41" fillId="0" borderId="0" xfId="0" applyFont="1" applyAlignment="1">
      <alignment horizontal="left"/>
    </xf>
    <xf numFmtId="0" fontId="47" fillId="0" borderId="0" xfId="0" applyFont="1" applyAlignment="1">
      <alignment horizontal="left"/>
    </xf>
    <xf numFmtId="0" fontId="46" fillId="0" borderId="0" xfId="0" applyFont="1" applyAlignment="1">
      <alignment horizontal="left"/>
    </xf>
    <xf numFmtId="0" fontId="48" fillId="0" borderId="0" xfId="0" applyFont="1" applyAlignment="1">
      <alignment horizontal="left" vertical="center"/>
    </xf>
    <xf numFmtId="0" fontId="21" fillId="0" borderId="7" xfId="0" applyFont="1" applyBorder="1" applyAlignment="1">
      <alignment horizontal="centerContinuous" vertical="center" wrapText="1"/>
    </xf>
    <xf numFmtId="0" fontId="22" fillId="0" borderId="7" xfId="0" applyFont="1" applyFill="1" applyBorder="1" applyAlignment="1">
      <alignment horizontal="center" vertical="center" wrapText="1"/>
    </xf>
    <xf numFmtId="0" fontId="21" fillId="0" borderId="7" xfId="0" applyFont="1" applyFill="1" applyBorder="1" applyAlignment="1">
      <alignment horizontal="centerContinuous" vertical="center" wrapText="1"/>
    </xf>
    <xf numFmtId="0" fontId="22" fillId="0" borderId="7" xfId="0" applyFont="1" applyBorder="1" applyAlignment="1">
      <alignment horizontal="centerContinuous" vertical="center" wrapText="1"/>
    </xf>
    <xf numFmtId="0" fontId="21" fillId="0" borderId="8" xfId="0" applyFont="1" applyBorder="1" applyAlignment="1">
      <alignment horizontal="center" vertical="center" wrapText="1"/>
    </xf>
    <xf numFmtId="0" fontId="21" fillId="0" borderId="9" xfId="0" applyFont="1" applyBorder="1" applyAlignment="1">
      <alignment horizontal="center" vertical="center" wrapText="1"/>
    </xf>
    <xf numFmtId="0" fontId="21" fillId="0" borderId="10" xfId="0" applyFont="1" applyBorder="1" applyAlignment="1">
      <alignment horizontal="center" vertical="center" wrapText="1"/>
    </xf>
    <xf numFmtId="0" fontId="21" fillId="0" borderId="11" xfId="0" applyFont="1" applyBorder="1" applyAlignment="1">
      <alignment horizontal="centerContinuous" vertical="center" wrapText="1"/>
    </xf>
    <xf numFmtId="0" fontId="21" fillId="0" borderId="12" xfId="0" applyFont="1" applyBorder="1" applyAlignment="1">
      <alignment horizontal="centerContinuous" vertical="center" wrapText="1"/>
    </xf>
    <xf numFmtId="0" fontId="22" fillId="0" borderId="12" xfId="0" applyFont="1" applyFill="1" applyBorder="1" applyAlignment="1">
      <alignment horizontal="center" vertical="center" wrapText="1"/>
    </xf>
    <xf numFmtId="0" fontId="21" fillId="0" borderId="11" xfId="0" applyFont="1" applyFill="1" applyBorder="1" applyAlignment="1">
      <alignment horizontal="centerContinuous" vertical="center" wrapText="1"/>
    </xf>
    <xf numFmtId="0" fontId="21" fillId="0" borderId="12" xfId="0" applyFont="1" applyFill="1" applyBorder="1" applyAlignment="1">
      <alignment horizontal="centerContinuous" vertical="center" wrapText="1"/>
    </xf>
    <xf numFmtId="0" fontId="22" fillId="0" borderId="12" xfId="0" applyFont="1" applyBorder="1" applyAlignment="1">
      <alignment horizontal="centerContinuous" vertical="center" wrapText="1"/>
    </xf>
    <xf numFmtId="0" fontId="21" fillId="0" borderId="14" xfId="0" applyFont="1" applyFill="1" applyBorder="1" applyAlignment="1">
      <alignment horizontal="centerContinuous" vertical="center" wrapText="1"/>
    </xf>
    <xf numFmtId="0" fontId="21" fillId="0" borderId="15" xfId="0" applyFont="1" applyFill="1" applyBorder="1" applyAlignment="1">
      <alignment horizontal="centerContinuous" vertical="center" wrapText="1"/>
    </xf>
    <xf numFmtId="0" fontId="21" fillId="0" borderId="16" xfId="0" applyFont="1" applyBorder="1" applyAlignment="1">
      <alignment horizontal="center" vertical="center" wrapText="1"/>
    </xf>
    <xf numFmtId="0" fontId="21" fillId="0" borderId="17" xfId="0" applyFont="1" applyBorder="1" applyAlignment="1">
      <alignment horizontal="centerContinuous" vertical="center" wrapText="1"/>
    </xf>
    <xf numFmtId="0" fontId="21" fillId="0" borderId="17" xfId="0" applyFont="1" applyFill="1" applyBorder="1" applyAlignment="1">
      <alignment horizontal="center" vertical="center" wrapText="1"/>
    </xf>
    <xf numFmtId="0" fontId="21" fillId="0" borderId="17" xfId="0" applyFont="1" applyFill="1" applyBorder="1" applyAlignment="1">
      <alignment horizontal="centerContinuous" vertical="center" wrapText="1"/>
    </xf>
    <xf numFmtId="0" fontId="21" fillId="0" borderId="18" xfId="0" applyFont="1" applyFill="1" applyBorder="1" applyAlignment="1">
      <alignment horizontal="center" vertical="center" wrapText="1"/>
    </xf>
    <xf numFmtId="0" fontId="22" fillId="0" borderId="11" xfId="0" applyFont="1" applyFill="1" applyBorder="1" applyAlignment="1">
      <alignment horizontal="center" vertical="center" wrapText="1"/>
    </xf>
    <xf numFmtId="0" fontId="22" fillId="0" borderId="11" xfId="0" applyFont="1" applyBorder="1" applyAlignment="1">
      <alignment horizontal="centerContinuous" vertical="center" wrapText="1"/>
    </xf>
    <xf numFmtId="0" fontId="21" fillId="0" borderId="13" xfId="0" applyFont="1" applyFill="1" applyBorder="1" applyAlignment="1">
      <alignment horizontal="centerContinuous" vertical="center" wrapText="1"/>
    </xf>
    <xf numFmtId="0" fontId="21" fillId="0" borderId="5" xfId="0" applyFont="1" applyFill="1" applyBorder="1" applyAlignment="1">
      <alignment horizontal="center" vertical="center" wrapText="1"/>
    </xf>
    <xf numFmtId="0" fontId="21" fillId="0" borderId="6" xfId="0" applyFont="1" applyFill="1" applyBorder="1" applyAlignment="1">
      <alignment horizontal="center" vertical="center" wrapText="1"/>
    </xf>
    <xf numFmtId="0" fontId="21" fillId="0" borderId="3" xfId="0" applyFont="1" applyFill="1" applyBorder="1" applyAlignment="1">
      <alignment horizontal="center" vertical="center" wrapText="1"/>
    </xf>
    <xf numFmtId="49" fontId="6" fillId="0" borderId="0" xfId="0" applyNumberFormat="1" applyFont="1" applyAlignment="1">
      <alignment horizontal="left" vertical="center" wrapText="1"/>
    </xf>
    <xf numFmtId="0" fontId="30" fillId="0" borderId="0" xfId="0" applyFont="1" applyAlignment="1">
      <alignment horizontal="left" vertical="center" wrapText="1" shrinkToFit="1"/>
    </xf>
    <xf numFmtId="49" fontId="13" fillId="0" borderId="0" xfId="1" applyNumberFormat="1" applyFont="1" applyAlignment="1">
      <alignment horizontal="center" vertical="center"/>
    </xf>
    <xf numFmtId="0" fontId="11" fillId="0" borderId="5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22" fillId="0" borderId="5" xfId="0" applyFont="1" applyBorder="1" applyAlignment="1">
      <alignment horizontal="center" vertical="center" wrapText="1"/>
    </xf>
    <xf numFmtId="0" fontId="22" fillId="0" borderId="6" xfId="0" applyFont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 wrapText="1"/>
    </xf>
    <xf numFmtId="49" fontId="48" fillId="0" borderId="0" xfId="0" applyNumberFormat="1" applyFont="1" applyAlignment="1">
      <alignment horizontal="left" vertical="center" wrapText="1"/>
    </xf>
    <xf numFmtId="0" fontId="48" fillId="0" borderId="0" xfId="0" applyFont="1" applyAlignment="1">
      <alignment horizontal="left" vertical="center" wrapText="1" shrinkToFit="1"/>
    </xf>
    <xf numFmtId="49" fontId="35" fillId="0" borderId="0" xfId="1" applyNumberFormat="1" applyFont="1" applyAlignment="1">
      <alignment horizontal="center"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BD24B-696A-4278-AC8C-03C33EF5244C}">
  <sheetPr>
    <pageSetUpPr fitToPage="1"/>
  </sheetPr>
  <dimension ref="A1:P33"/>
  <sheetViews>
    <sheetView zoomScale="85" zoomScaleNormal="85" workbookViewId="0">
      <selection sqref="A1:XFD1048576"/>
    </sheetView>
  </sheetViews>
  <sheetFormatPr defaultRowHeight="15"/>
  <cols>
    <col min="1" max="1" width="55.7109375" customWidth="1"/>
    <col min="2" max="16" width="11.7109375" customWidth="1"/>
  </cols>
  <sheetData>
    <row r="1" spans="1:16" ht="29.25">
      <c r="A1" s="69" t="s">
        <v>50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</row>
    <row r="2" spans="1:16">
      <c r="A2" s="1"/>
    </row>
    <row r="3" spans="1:16" ht="23.25">
      <c r="A3" s="7" t="s">
        <v>25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</row>
    <row r="4" spans="1:16" ht="24" thickBot="1">
      <c r="A4" s="9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</row>
    <row r="5" spans="1:16" ht="48" customHeight="1" thickTop="1" thickBot="1">
      <c r="A5" s="10" t="s">
        <v>0</v>
      </c>
      <c r="B5" s="17" t="s">
        <v>1</v>
      </c>
      <c r="C5" s="17" t="s">
        <v>2</v>
      </c>
      <c r="D5" s="17" t="s">
        <v>3</v>
      </c>
      <c r="E5" s="17" t="s">
        <v>4</v>
      </c>
      <c r="F5" s="17" t="s">
        <v>5</v>
      </c>
      <c r="G5" s="17" t="s">
        <v>6</v>
      </c>
      <c r="H5" s="17" t="s">
        <v>7</v>
      </c>
      <c r="I5" s="17" t="s">
        <v>8</v>
      </c>
      <c r="J5" s="17" t="s">
        <v>9</v>
      </c>
      <c r="K5" s="17" t="s">
        <v>10</v>
      </c>
      <c r="L5" s="17" t="s">
        <v>11</v>
      </c>
      <c r="M5" s="17" t="s">
        <v>12</v>
      </c>
      <c r="N5" s="17" t="s">
        <v>13</v>
      </c>
      <c r="O5" s="17" t="s">
        <v>14</v>
      </c>
      <c r="P5" s="17" t="s">
        <v>15</v>
      </c>
    </row>
    <row r="6" spans="1:16" ht="30" customHeight="1" thickTop="1" thickBot="1">
      <c r="A6" s="70" t="s">
        <v>16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2"/>
    </row>
    <row r="7" spans="1:16" ht="24.95" customHeight="1" thickTop="1" thickBot="1">
      <c r="A7" s="18" t="s">
        <v>17</v>
      </c>
      <c r="B7" s="24">
        <v>11</v>
      </c>
      <c r="C7" s="24">
        <v>17</v>
      </c>
      <c r="D7" s="24">
        <v>17</v>
      </c>
      <c r="E7" s="24">
        <v>9.5</v>
      </c>
      <c r="F7" s="24">
        <v>15.5</v>
      </c>
      <c r="G7" s="24">
        <v>16.5</v>
      </c>
      <c r="H7" s="24">
        <v>7</v>
      </c>
      <c r="I7" s="24">
        <v>6.5</v>
      </c>
      <c r="J7" s="24">
        <v>11.5</v>
      </c>
      <c r="K7" s="24">
        <v>10</v>
      </c>
      <c r="L7" s="24">
        <v>11.5</v>
      </c>
      <c r="M7" s="24">
        <v>14</v>
      </c>
      <c r="N7" s="24">
        <v>15</v>
      </c>
      <c r="O7" s="24">
        <v>8</v>
      </c>
      <c r="P7" s="24">
        <v>3</v>
      </c>
    </row>
    <row r="8" spans="1:16" ht="24.95" customHeight="1" thickTop="1" thickBot="1">
      <c r="A8" s="18" t="s">
        <v>18</v>
      </c>
      <c r="B8" s="24">
        <v>10</v>
      </c>
      <c r="C8" s="24">
        <v>16</v>
      </c>
      <c r="D8" s="24">
        <v>16.5</v>
      </c>
      <c r="E8" s="24">
        <v>8</v>
      </c>
      <c r="F8" s="24">
        <v>13</v>
      </c>
      <c r="G8" s="24">
        <v>14.5</v>
      </c>
      <c r="H8" s="24">
        <v>6</v>
      </c>
      <c r="I8" s="24">
        <v>5.5</v>
      </c>
      <c r="J8" s="24">
        <v>11</v>
      </c>
      <c r="K8" s="24">
        <v>9</v>
      </c>
      <c r="L8" s="24">
        <v>10.5</v>
      </c>
      <c r="M8" s="24">
        <v>12</v>
      </c>
      <c r="N8" s="24">
        <v>14</v>
      </c>
      <c r="O8" s="24">
        <v>7</v>
      </c>
      <c r="P8" s="24">
        <v>2.5</v>
      </c>
    </row>
    <row r="9" spans="1:16" ht="24.95" customHeight="1" thickTop="1" thickBot="1">
      <c r="A9" s="18" t="s">
        <v>19</v>
      </c>
      <c r="B9" s="24">
        <v>9.5</v>
      </c>
      <c r="C9" s="24">
        <v>14.5</v>
      </c>
      <c r="D9" s="24">
        <v>16</v>
      </c>
      <c r="E9" s="24">
        <v>7.5</v>
      </c>
      <c r="F9" s="24">
        <v>12</v>
      </c>
      <c r="G9" s="24">
        <v>13.5</v>
      </c>
      <c r="H9" s="24">
        <v>5</v>
      </c>
      <c r="I9" s="24">
        <v>4.5</v>
      </c>
      <c r="J9" s="24">
        <v>10</v>
      </c>
      <c r="K9" s="24">
        <v>8.5</v>
      </c>
      <c r="L9" s="24">
        <v>8.5</v>
      </c>
      <c r="M9" s="24">
        <v>10</v>
      </c>
      <c r="N9" s="24">
        <v>11.5</v>
      </c>
      <c r="O9" s="24">
        <v>6</v>
      </c>
      <c r="P9" s="24">
        <v>2</v>
      </c>
    </row>
    <row r="10" spans="1:16" ht="24.95" customHeight="1" thickTop="1" thickBot="1">
      <c r="A10" s="18" t="s">
        <v>20</v>
      </c>
      <c r="B10" s="24">
        <v>8.5</v>
      </c>
      <c r="C10" s="24">
        <v>12</v>
      </c>
      <c r="D10" s="24">
        <v>15.5</v>
      </c>
      <c r="E10" s="24">
        <v>7</v>
      </c>
      <c r="F10" s="24">
        <v>11</v>
      </c>
      <c r="G10" s="24">
        <v>12</v>
      </c>
      <c r="H10" s="24">
        <v>4.5</v>
      </c>
      <c r="I10" s="24">
        <v>4</v>
      </c>
      <c r="J10" s="24">
        <v>9.5</v>
      </c>
      <c r="K10" s="24">
        <v>7</v>
      </c>
      <c r="L10" s="24">
        <v>6</v>
      </c>
      <c r="M10" s="24">
        <v>8.5</v>
      </c>
      <c r="N10" s="24">
        <v>10</v>
      </c>
      <c r="O10" s="24">
        <v>5.5</v>
      </c>
      <c r="P10" s="24">
        <v>2</v>
      </c>
    </row>
    <row r="11" spans="1:16" ht="30" customHeight="1" thickTop="1" thickBot="1">
      <c r="A11" s="64" t="s">
        <v>36</v>
      </c>
      <c r="B11" s="65"/>
      <c r="C11" s="65"/>
      <c r="D11" s="65"/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6"/>
    </row>
    <row r="12" spans="1:16" ht="24.95" customHeight="1" thickTop="1" thickBot="1">
      <c r="A12" s="20" t="s">
        <v>27</v>
      </c>
      <c r="B12" s="25">
        <f t="shared" ref="B12:P12" si="0">B7*200</f>
        <v>2200</v>
      </c>
      <c r="C12" s="25">
        <f t="shared" si="0"/>
        <v>3400</v>
      </c>
      <c r="D12" s="25">
        <f t="shared" si="0"/>
        <v>3400</v>
      </c>
      <c r="E12" s="25">
        <f t="shared" si="0"/>
        <v>1900</v>
      </c>
      <c r="F12" s="25">
        <f t="shared" si="0"/>
        <v>3100</v>
      </c>
      <c r="G12" s="25">
        <f t="shared" si="0"/>
        <v>3300</v>
      </c>
      <c r="H12" s="25">
        <f t="shared" si="0"/>
        <v>1400</v>
      </c>
      <c r="I12" s="25">
        <f t="shared" si="0"/>
        <v>1300</v>
      </c>
      <c r="J12" s="25">
        <f t="shared" si="0"/>
        <v>2300</v>
      </c>
      <c r="K12" s="25">
        <f t="shared" si="0"/>
        <v>2000</v>
      </c>
      <c r="L12" s="25">
        <f t="shared" si="0"/>
        <v>2300</v>
      </c>
      <c r="M12" s="25">
        <f t="shared" si="0"/>
        <v>2800</v>
      </c>
      <c r="N12" s="25">
        <f t="shared" si="0"/>
        <v>3000</v>
      </c>
      <c r="O12" s="25">
        <f t="shared" si="0"/>
        <v>1600</v>
      </c>
      <c r="P12" s="25">
        <f t="shared" si="0"/>
        <v>600</v>
      </c>
    </row>
    <row r="13" spans="1:16" ht="24.95" customHeight="1" thickTop="1" thickBot="1">
      <c r="A13" s="20" t="s">
        <v>37</v>
      </c>
      <c r="B13" s="25">
        <f t="shared" ref="B13:P13" si="1">B8*200</f>
        <v>2000</v>
      </c>
      <c r="C13" s="25">
        <f t="shared" si="1"/>
        <v>3200</v>
      </c>
      <c r="D13" s="25">
        <f t="shared" si="1"/>
        <v>3300</v>
      </c>
      <c r="E13" s="25">
        <f t="shared" si="1"/>
        <v>1600</v>
      </c>
      <c r="F13" s="25">
        <f t="shared" si="1"/>
        <v>2600</v>
      </c>
      <c r="G13" s="25">
        <f t="shared" si="1"/>
        <v>2900</v>
      </c>
      <c r="H13" s="25">
        <f t="shared" si="1"/>
        <v>1200</v>
      </c>
      <c r="I13" s="25">
        <f t="shared" si="1"/>
        <v>1100</v>
      </c>
      <c r="J13" s="25">
        <f t="shared" si="1"/>
        <v>2200</v>
      </c>
      <c r="K13" s="25">
        <f t="shared" si="1"/>
        <v>1800</v>
      </c>
      <c r="L13" s="25">
        <f t="shared" si="1"/>
        <v>2100</v>
      </c>
      <c r="M13" s="25">
        <f t="shared" si="1"/>
        <v>2400</v>
      </c>
      <c r="N13" s="25">
        <f t="shared" si="1"/>
        <v>2800</v>
      </c>
      <c r="O13" s="25">
        <f t="shared" si="1"/>
        <v>1400</v>
      </c>
      <c r="P13" s="25">
        <f t="shared" si="1"/>
        <v>500</v>
      </c>
    </row>
    <row r="14" spans="1:16" ht="24.95" customHeight="1" thickTop="1" thickBot="1">
      <c r="A14" s="20" t="s">
        <v>38</v>
      </c>
      <c r="B14" s="25">
        <f t="shared" ref="B14:P14" si="2">B9*200</f>
        <v>1900</v>
      </c>
      <c r="C14" s="25">
        <f t="shared" si="2"/>
        <v>2900</v>
      </c>
      <c r="D14" s="25">
        <f t="shared" si="2"/>
        <v>3200</v>
      </c>
      <c r="E14" s="25">
        <f t="shared" si="2"/>
        <v>1500</v>
      </c>
      <c r="F14" s="25">
        <f t="shared" si="2"/>
        <v>2400</v>
      </c>
      <c r="G14" s="25">
        <f t="shared" si="2"/>
        <v>2700</v>
      </c>
      <c r="H14" s="25">
        <f t="shared" si="2"/>
        <v>1000</v>
      </c>
      <c r="I14" s="25">
        <f t="shared" si="2"/>
        <v>900</v>
      </c>
      <c r="J14" s="25">
        <f t="shared" si="2"/>
        <v>2000</v>
      </c>
      <c r="K14" s="25">
        <f t="shared" si="2"/>
        <v>1700</v>
      </c>
      <c r="L14" s="25">
        <f t="shared" si="2"/>
        <v>1700</v>
      </c>
      <c r="M14" s="25">
        <f t="shared" si="2"/>
        <v>2000</v>
      </c>
      <c r="N14" s="25">
        <f t="shared" si="2"/>
        <v>2300</v>
      </c>
      <c r="O14" s="25">
        <f t="shared" si="2"/>
        <v>1200</v>
      </c>
      <c r="P14" s="25">
        <f t="shared" si="2"/>
        <v>400</v>
      </c>
    </row>
    <row r="15" spans="1:16" ht="24.95" customHeight="1" thickTop="1" thickBot="1">
      <c r="A15" s="20" t="s">
        <v>39</v>
      </c>
      <c r="B15" s="25">
        <f t="shared" ref="B15:P15" si="3">B10*200</f>
        <v>1700</v>
      </c>
      <c r="C15" s="25">
        <f t="shared" si="3"/>
        <v>2400</v>
      </c>
      <c r="D15" s="25">
        <f t="shared" si="3"/>
        <v>3100</v>
      </c>
      <c r="E15" s="25">
        <f t="shared" si="3"/>
        <v>1400</v>
      </c>
      <c r="F15" s="25">
        <f t="shared" si="3"/>
        <v>2200</v>
      </c>
      <c r="G15" s="25">
        <f t="shared" si="3"/>
        <v>2400</v>
      </c>
      <c r="H15" s="25">
        <f t="shared" si="3"/>
        <v>900</v>
      </c>
      <c r="I15" s="25">
        <f t="shared" si="3"/>
        <v>800</v>
      </c>
      <c r="J15" s="25">
        <f t="shared" si="3"/>
        <v>1900</v>
      </c>
      <c r="K15" s="25">
        <f t="shared" si="3"/>
        <v>1400</v>
      </c>
      <c r="L15" s="25">
        <f t="shared" si="3"/>
        <v>1200</v>
      </c>
      <c r="M15" s="25">
        <f t="shared" si="3"/>
        <v>1700</v>
      </c>
      <c r="N15" s="25">
        <f t="shared" si="3"/>
        <v>2000</v>
      </c>
      <c r="O15" s="25">
        <f t="shared" si="3"/>
        <v>1100</v>
      </c>
      <c r="P15" s="25">
        <f t="shared" si="3"/>
        <v>400</v>
      </c>
    </row>
    <row r="16" spans="1:16" ht="30" customHeight="1" thickTop="1" thickBot="1">
      <c r="A16" s="64" t="s">
        <v>35</v>
      </c>
      <c r="B16" s="65"/>
      <c r="C16" s="65"/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6"/>
    </row>
    <row r="17" spans="1:16" ht="24.95" customHeight="1" thickTop="1" thickBot="1">
      <c r="A17" s="18" t="s">
        <v>40</v>
      </c>
      <c r="B17" s="73" t="s">
        <v>49</v>
      </c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5"/>
    </row>
    <row r="18" spans="1:16" ht="30" customHeight="1" thickTop="1" thickBot="1">
      <c r="A18" s="64" t="s">
        <v>21</v>
      </c>
      <c r="B18" s="65"/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6"/>
    </row>
    <row r="19" spans="1:16" ht="24.95" customHeight="1" thickTop="1" thickBot="1">
      <c r="A19" s="18" t="s">
        <v>26</v>
      </c>
      <c r="B19" s="19">
        <v>250</v>
      </c>
      <c r="C19" s="19">
        <v>350</v>
      </c>
      <c r="D19" s="19">
        <v>350</v>
      </c>
      <c r="E19" s="19">
        <v>250</v>
      </c>
      <c r="F19" s="19">
        <v>350</v>
      </c>
      <c r="G19" s="19">
        <v>350</v>
      </c>
      <c r="H19" s="19">
        <v>250</v>
      </c>
      <c r="I19" s="19">
        <v>250</v>
      </c>
      <c r="J19" s="19">
        <v>250</v>
      </c>
      <c r="K19" s="19">
        <v>250</v>
      </c>
      <c r="L19" s="19">
        <v>250</v>
      </c>
      <c r="M19" s="19">
        <v>250</v>
      </c>
      <c r="N19" s="19">
        <v>250</v>
      </c>
      <c r="O19" s="24">
        <v>200</v>
      </c>
      <c r="P19" s="24">
        <v>150</v>
      </c>
    </row>
    <row r="20" spans="1:16" ht="24.95" customHeight="1" thickTop="1" thickBot="1">
      <c r="A20" s="23" t="s">
        <v>46</v>
      </c>
      <c r="B20" s="19">
        <v>550</v>
      </c>
      <c r="C20" s="19">
        <v>850</v>
      </c>
      <c r="D20" s="19">
        <v>850</v>
      </c>
      <c r="E20" s="19">
        <v>500</v>
      </c>
      <c r="F20" s="19">
        <v>800</v>
      </c>
      <c r="G20" s="19">
        <v>850</v>
      </c>
      <c r="H20" s="24">
        <v>350</v>
      </c>
      <c r="I20" s="19">
        <v>350</v>
      </c>
      <c r="J20" s="24">
        <v>600</v>
      </c>
      <c r="K20" s="24">
        <v>500</v>
      </c>
      <c r="L20" s="24">
        <v>600</v>
      </c>
      <c r="M20" s="19">
        <v>700</v>
      </c>
      <c r="N20" s="19">
        <v>750</v>
      </c>
      <c r="O20" s="19">
        <v>400</v>
      </c>
      <c r="P20" s="19">
        <v>150</v>
      </c>
    </row>
    <row r="21" spans="1:16" ht="24.95" customHeight="1" thickTop="1" thickBot="1">
      <c r="A21" s="23" t="s">
        <v>47</v>
      </c>
      <c r="B21" s="19">
        <v>1100</v>
      </c>
      <c r="C21" s="19">
        <v>1700</v>
      </c>
      <c r="D21" s="24">
        <v>1700</v>
      </c>
      <c r="E21" s="24">
        <v>950</v>
      </c>
      <c r="F21" s="19">
        <v>1550</v>
      </c>
      <c r="G21" s="24">
        <v>1650</v>
      </c>
      <c r="H21" s="24">
        <v>700</v>
      </c>
      <c r="I21" s="19">
        <v>650</v>
      </c>
      <c r="J21" s="19">
        <v>1150</v>
      </c>
      <c r="K21" s="24">
        <v>1000</v>
      </c>
      <c r="L21" s="19">
        <v>1150</v>
      </c>
      <c r="M21" s="19">
        <v>1400</v>
      </c>
      <c r="N21" s="19">
        <v>1500</v>
      </c>
      <c r="O21" s="24">
        <v>800</v>
      </c>
      <c r="P21" s="24">
        <v>300</v>
      </c>
    </row>
    <row r="22" spans="1:16" ht="30" customHeight="1" thickTop="1" thickBot="1">
      <c r="A22" s="64" t="s">
        <v>22</v>
      </c>
      <c r="B22" s="65"/>
      <c r="C22" s="65"/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6"/>
    </row>
    <row r="23" spans="1:16" ht="24.95" customHeight="1" thickTop="1" thickBot="1">
      <c r="A23" s="18" t="s">
        <v>41</v>
      </c>
      <c r="B23" s="64" t="s">
        <v>23</v>
      </c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6"/>
    </row>
    <row r="24" spans="1:16" ht="24.95" customHeight="1" thickTop="1" thickBot="1">
      <c r="A24" s="18" t="s">
        <v>42</v>
      </c>
      <c r="B24" s="64" t="s">
        <v>24</v>
      </c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6"/>
    </row>
    <row r="25" spans="1:16" ht="19.5" thickTop="1">
      <c r="A25" s="21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</row>
    <row r="26" spans="1:16" ht="23.25">
      <c r="A26" s="7" t="s">
        <v>28</v>
      </c>
      <c r="B26" s="12"/>
      <c r="C26" s="12"/>
      <c r="D26" s="12"/>
      <c r="E26" s="12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16" ht="27.75">
      <c r="A27" s="13" t="s">
        <v>32</v>
      </c>
      <c r="B27" s="14"/>
      <c r="C27" s="14"/>
      <c r="D27" s="7"/>
      <c r="E27" s="7"/>
      <c r="F27" s="2"/>
      <c r="G27" s="26" t="s">
        <v>43</v>
      </c>
      <c r="H27" s="5"/>
      <c r="I27" s="5"/>
      <c r="J27" s="5"/>
      <c r="K27" s="5"/>
      <c r="L27" s="5"/>
      <c r="M27" s="5"/>
      <c r="N27" s="5"/>
      <c r="O27" s="5"/>
      <c r="P27" s="5"/>
    </row>
    <row r="28" spans="1:16" ht="27.75">
      <c r="A28" s="15" t="s">
        <v>33</v>
      </c>
      <c r="B28" s="14"/>
      <c r="C28" s="14"/>
      <c r="D28" s="7"/>
      <c r="E28" s="7"/>
      <c r="F28" s="2"/>
      <c r="G28" s="26" t="s">
        <v>44</v>
      </c>
      <c r="H28" s="5"/>
      <c r="I28" s="5"/>
      <c r="J28" s="5"/>
      <c r="K28" s="5"/>
      <c r="L28" s="5"/>
      <c r="M28" s="5"/>
      <c r="N28" s="5"/>
      <c r="O28" s="5"/>
      <c r="P28" s="5"/>
    </row>
    <row r="29" spans="1:16" ht="27.75">
      <c r="A29" s="13" t="s">
        <v>34</v>
      </c>
      <c r="B29" s="14"/>
      <c r="C29" s="14"/>
      <c r="D29" s="16"/>
      <c r="E29" s="16"/>
      <c r="F29" s="6"/>
      <c r="G29" s="26" t="s">
        <v>45</v>
      </c>
      <c r="H29" s="5"/>
      <c r="I29" s="5"/>
      <c r="J29" s="5"/>
      <c r="K29" s="5"/>
      <c r="L29" s="5"/>
      <c r="M29" s="5"/>
      <c r="N29" s="5"/>
      <c r="O29" s="5"/>
      <c r="P29" s="5"/>
    </row>
    <row r="30" spans="1:16" ht="23.25">
      <c r="A30" s="11" t="s">
        <v>29</v>
      </c>
      <c r="B30" s="14"/>
      <c r="C30" s="14"/>
      <c r="D30" s="14"/>
      <c r="E30" s="14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</row>
    <row r="31" spans="1:16" ht="22.5">
      <c r="A31" s="4" t="s">
        <v>30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</row>
    <row r="32" spans="1:16" ht="42" customHeight="1">
      <c r="A32" s="67" t="s">
        <v>31</v>
      </c>
      <c r="B32" s="67"/>
      <c r="C32" s="67"/>
      <c r="D32" s="67"/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</row>
    <row r="33" spans="1:16" ht="50.1" customHeight="1">
      <c r="A33" s="68" t="s">
        <v>48</v>
      </c>
      <c r="B33" s="68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</row>
  </sheetData>
  <mergeCells count="11">
    <mergeCell ref="B23:P23"/>
    <mergeCell ref="B24:P24"/>
    <mergeCell ref="A32:P32"/>
    <mergeCell ref="A33:P33"/>
    <mergeCell ref="A1:P1"/>
    <mergeCell ref="A6:P6"/>
    <mergeCell ref="A11:P11"/>
    <mergeCell ref="A16:P16"/>
    <mergeCell ref="A18:P18"/>
    <mergeCell ref="A22:P22"/>
    <mergeCell ref="B17:P17"/>
  </mergeCells>
  <pageMargins left="0.7" right="0.7" top="0.75" bottom="0.75" header="0.3" footer="0.3"/>
  <pageSetup paperSize="9" scale="5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F3EEE-E383-4930-99D2-28725D5DEB6A}">
  <sheetPr>
    <pageSetUpPr fitToPage="1"/>
  </sheetPr>
  <dimension ref="A1:P33"/>
  <sheetViews>
    <sheetView tabSelected="1" zoomScale="85" zoomScaleNormal="85" workbookViewId="0">
      <selection activeCell="A6" sqref="A6"/>
    </sheetView>
  </sheetViews>
  <sheetFormatPr defaultRowHeight="15"/>
  <cols>
    <col min="1" max="1" width="55.7109375" style="27" customWidth="1"/>
    <col min="2" max="16" width="11.7109375" style="27" customWidth="1"/>
    <col min="17" max="16384" width="9.140625" style="27"/>
  </cols>
  <sheetData>
    <row r="1" spans="1:16" ht="29.25">
      <c r="A1" s="78" t="s">
        <v>51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</row>
    <row r="2" spans="1:16">
      <c r="A2" s="28"/>
    </row>
    <row r="3" spans="1:16" ht="23.25">
      <c r="A3" s="29" t="s">
        <v>25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</row>
    <row r="4" spans="1:16" ht="24" thickBot="1">
      <c r="A4" s="31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</row>
    <row r="5" spans="1:16" ht="48" customHeight="1">
      <c r="A5" s="56" t="s">
        <v>0</v>
      </c>
      <c r="B5" s="45" t="s">
        <v>1</v>
      </c>
      <c r="C5" s="46" t="s">
        <v>2</v>
      </c>
      <c r="D5" s="47" t="s">
        <v>3</v>
      </c>
      <c r="E5" s="45" t="s">
        <v>4</v>
      </c>
      <c r="F5" s="46" t="s">
        <v>5</v>
      </c>
      <c r="G5" s="47" t="s">
        <v>6</v>
      </c>
      <c r="H5" s="45" t="s">
        <v>7</v>
      </c>
      <c r="I5" s="46" t="s">
        <v>8</v>
      </c>
      <c r="J5" s="46" t="s">
        <v>9</v>
      </c>
      <c r="K5" s="47" t="s">
        <v>10</v>
      </c>
      <c r="L5" s="45" t="s">
        <v>11</v>
      </c>
      <c r="M5" s="46" t="s">
        <v>12</v>
      </c>
      <c r="N5" s="47" t="s">
        <v>13</v>
      </c>
      <c r="O5" s="45" t="s">
        <v>14</v>
      </c>
      <c r="P5" s="47" t="s">
        <v>15</v>
      </c>
    </row>
    <row r="6" spans="1:16" ht="30" customHeight="1">
      <c r="A6" s="57" t="s">
        <v>16</v>
      </c>
      <c r="B6" s="48"/>
      <c r="C6" s="41"/>
      <c r="D6" s="49"/>
      <c r="E6" s="48"/>
      <c r="F6" s="41"/>
      <c r="G6" s="49"/>
      <c r="H6" s="48"/>
      <c r="I6" s="41"/>
      <c r="J6" s="41"/>
      <c r="K6" s="49"/>
      <c r="L6" s="48"/>
      <c r="M6" s="41"/>
      <c r="N6" s="49"/>
      <c r="O6" s="48"/>
      <c r="P6" s="49"/>
    </row>
    <row r="7" spans="1:16" ht="24.95" customHeight="1">
      <c r="A7" s="58" t="s">
        <v>17</v>
      </c>
      <c r="B7" s="61">
        <v>11</v>
      </c>
      <c r="C7" s="42">
        <v>17</v>
      </c>
      <c r="D7" s="50">
        <v>17</v>
      </c>
      <c r="E7" s="61">
        <v>9.5</v>
      </c>
      <c r="F7" s="42">
        <v>15.5</v>
      </c>
      <c r="G7" s="50">
        <v>16.5</v>
      </c>
      <c r="H7" s="61">
        <v>7</v>
      </c>
      <c r="I7" s="42">
        <v>6.5</v>
      </c>
      <c r="J7" s="42">
        <v>11.5</v>
      </c>
      <c r="K7" s="50">
        <v>10</v>
      </c>
      <c r="L7" s="61">
        <v>11.5</v>
      </c>
      <c r="M7" s="42">
        <v>14</v>
      </c>
      <c r="N7" s="50">
        <v>15</v>
      </c>
      <c r="O7" s="61">
        <v>8</v>
      </c>
      <c r="P7" s="50">
        <v>3</v>
      </c>
    </row>
    <row r="8" spans="1:16" ht="24.95" customHeight="1">
      <c r="A8" s="58" t="s">
        <v>18</v>
      </c>
      <c r="B8" s="61">
        <v>10</v>
      </c>
      <c r="C8" s="42">
        <v>16</v>
      </c>
      <c r="D8" s="50">
        <v>16.5</v>
      </c>
      <c r="E8" s="61">
        <v>8</v>
      </c>
      <c r="F8" s="42">
        <v>13</v>
      </c>
      <c r="G8" s="50">
        <v>14.5</v>
      </c>
      <c r="H8" s="61">
        <v>6</v>
      </c>
      <c r="I8" s="42">
        <v>5.5</v>
      </c>
      <c r="J8" s="42">
        <v>11</v>
      </c>
      <c r="K8" s="50">
        <v>9</v>
      </c>
      <c r="L8" s="61">
        <v>10.5</v>
      </c>
      <c r="M8" s="42">
        <v>12</v>
      </c>
      <c r="N8" s="50">
        <v>14</v>
      </c>
      <c r="O8" s="61">
        <v>7</v>
      </c>
      <c r="P8" s="50">
        <v>2.5</v>
      </c>
    </row>
    <row r="9" spans="1:16" ht="24.95" customHeight="1">
      <c r="A9" s="58" t="s">
        <v>19</v>
      </c>
      <c r="B9" s="61">
        <v>9.5</v>
      </c>
      <c r="C9" s="42">
        <v>14.5</v>
      </c>
      <c r="D9" s="50">
        <v>16</v>
      </c>
      <c r="E9" s="61">
        <v>7.5</v>
      </c>
      <c r="F9" s="42">
        <v>12</v>
      </c>
      <c r="G9" s="50">
        <v>13.5</v>
      </c>
      <c r="H9" s="61">
        <v>5</v>
      </c>
      <c r="I9" s="42">
        <v>4.5</v>
      </c>
      <c r="J9" s="42">
        <v>10</v>
      </c>
      <c r="K9" s="50">
        <v>8.5</v>
      </c>
      <c r="L9" s="61">
        <v>8.5</v>
      </c>
      <c r="M9" s="42">
        <v>10</v>
      </c>
      <c r="N9" s="50">
        <v>11.5</v>
      </c>
      <c r="O9" s="61">
        <v>6</v>
      </c>
      <c r="P9" s="50">
        <v>2</v>
      </c>
    </row>
    <row r="10" spans="1:16" ht="24.95" customHeight="1">
      <c r="A10" s="58" t="s">
        <v>20</v>
      </c>
      <c r="B10" s="61">
        <v>8.5</v>
      </c>
      <c r="C10" s="42">
        <v>12</v>
      </c>
      <c r="D10" s="50">
        <v>15.5</v>
      </c>
      <c r="E10" s="61">
        <v>7</v>
      </c>
      <c r="F10" s="42">
        <v>11</v>
      </c>
      <c r="G10" s="50">
        <v>12</v>
      </c>
      <c r="H10" s="61">
        <v>4.5</v>
      </c>
      <c r="I10" s="42">
        <v>4</v>
      </c>
      <c r="J10" s="42">
        <v>9.5</v>
      </c>
      <c r="K10" s="50">
        <v>7</v>
      </c>
      <c r="L10" s="61">
        <v>6</v>
      </c>
      <c r="M10" s="42">
        <v>8.5</v>
      </c>
      <c r="N10" s="50">
        <v>10</v>
      </c>
      <c r="O10" s="61">
        <v>5.5</v>
      </c>
      <c r="P10" s="50">
        <v>2</v>
      </c>
    </row>
    <row r="11" spans="1:16" ht="30" customHeight="1">
      <c r="A11" s="59" t="s">
        <v>36</v>
      </c>
      <c r="B11" s="51"/>
      <c r="C11" s="43"/>
      <c r="D11" s="52"/>
      <c r="E11" s="51"/>
      <c r="F11" s="43"/>
      <c r="G11" s="52"/>
      <c r="H11" s="51"/>
      <c r="I11" s="43"/>
      <c r="J11" s="43"/>
      <c r="K11" s="52"/>
      <c r="L11" s="51"/>
      <c r="M11" s="43"/>
      <c r="N11" s="52"/>
      <c r="O11" s="51"/>
      <c r="P11" s="52"/>
    </row>
    <row r="12" spans="1:16" ht="24.95" customHeight="1">
      <c r="A12" s="58" t="s">
        <v>27</v>
      </c>
      <c r="B12" s="61">
        <f t="shared" ref="B12:P15" si="0">B7*200</f>
        <v>2200</v>
      </c>
      <c r="C12" s="42">
        <f t="shared" si="0"/>
        <v>3400</v>
      </c>
      <c r="D12" s="50">
        <f t="shared" si="0"/>
        <v>3400</v>
      </c>
      <c r="E12" s="61">
        <f t="shared" si="0"/>
        <v>1900</v>
      </c>
      <c r="F12" s="42">
        <f t="shared" si="0"/>
        <v>3100</v>
      </c>
      <c r="G12" s="50">
        <f t="shared" si="0"/>
        <v>3300</v>
      </c>
      <c r="H12" s="61">
        <f t="shared" si="0"/>
        <v>1400</v>
      </c>
      <c r="I12" s="42">
        <f t="shared" si="0"/>
        <v>1300</v>
      </c>
      <c r="J12" s="42">
        <f t="shared" si="0"/>
        <v>2300</v>
      </c>
      <c r="K12" s="50">
        <f t="shared" si="0"/>
        <v>2000</v>
      </c>
      <c r="L12" s="61">
        <f t="shared" si="0"/>
        <v>2300</v>
      </c>
      <c r="M12" s="42">
        <f t="shared" si="0"/>
        <v>2800</v>
      </c>
      <c r="N12" s="50">
        <f t="shared" si="0"/>
        <v>3000</v>
      </c>
      <c r="O12" s="61">
        <f t="shared" si="0"/>
        <v>1600</v>
      </c>
      <c r="P12" s="50">
        <f t="shared" si="0"/>
        <v>600</v>
      </c>
    </row>
    <row r="13" spans="1:16" ht="24.95" customHeight="1">
      <c r="A13" s="58" t="s">
        <v>37</v>
      </c>
      <c r="B13" s="61">
        <f t="shared" si="0"/>
        <v>2000</v>
      </c>
      <c r="C13" s="42">
        <f t="shared" si="0"/>
        <v>3200</v>
      </c>
      <c r="D13" s="50">
        <f t="shared" si="0"/>
        <v>3300</v>
      </c>
      <c r="E13" s="61">
        <f t="shared" si="0"/>
        <v>1600</v>
      </c>
      <c r="F13" s="42">
        <f t="shared" si="0"/>
        <v>2600</v>
      </c>
      <c r="G13" s="50">
        <f t="shared" si="0"/>
        <v>2900</v>
      </c>
      <c r="H13" s="61">
        <f t="shared" si="0"/>
        <v>1200</v>
      </c>
      <c r="I13" s="42">
        <f t="shared" si="0"/>
        <v>1100</v>
      </c>
      <c r="J13" s="42">
        <f t="shared" si="0"/>
        <v>2200</v>
      </c>
      <c r="K13" s="50">
        <f t="shared" si="0"/>
        <v>1800</v>
      </c>
      <c r="L13" s="61">
        <f t="shared" si="0"/>
        <v>2100</v>
      </c>
      <c r="M13" s="42">
        <f t="shared" si="0"/>
        <v>2400</v>
      </c>
      <c r="N13" s="50">
        <f t="shared" si="0"/>
        <v>2800</v>
      </c>
      <c r="O13" s="61">
        <f t="shared" si="0"/>
        <v>1400</v>
      </c>
      <c r="P13" s="50">
        <f t="shared" si="0"/>
        <v>500</v>
      </c>
    </row>
    <row r="14" spans="1:16" ht="24.95" customHeight="1">
      <c r="A14" s="58" t="s">
        <v>38</v>
      </c>
      <c r="B14" s="61">
        <f t="shared" si="0"/>
        <v>1900</v>
      </c>
      <c r="C14" s="42">
        <f t="shared" si="0"/>
        <v>2900</v>
      </c>
      <c r="D14" s="50">
        <f t="shared" si="0"/>
        <v>3200</v>
      </c>
      <c r="E14" s="61">
        <f t="shared" si="0"/>
        <v>1500</v>
      </c>
      <c r="F14" s="42">
        <f t="shared" si="0"/>
        <v>2400</v>
      </c>
      <c r="G14" s="50">
        <f t="shared" si="0"/>
        <v>2700</v>
      </c>
      <c r="H14" s="61">
        <f t="shared" si="0"/>
        <v>1000</v>
      </c>
      <c r="I14" s="42">
        <f t="shared" si="0"/>
        <v>900</v>
      </c>
      <c r="J14" s="42">
        <f t="shared" si="0"/>
        <v>2000</v>
      </c>
      <c r="K14" s="50">
        <f t="shared" si="0"/>
        <v>1700</v>
      </c>
      <c r="L14" s="61">
        <f t="shared" si="0"/>
        <v>1700</v>
      </c>
      <c r="M14" s="42">
        <f t="shared" si="0"/>
        <v>2000</v>
      </c>
      <c r="N14" s="50">
        <f t="shared" si="0"/>
        <v>2300</v>
      </c>
      <c r="O14" s="61">
        <f t="shared" si="0"/>
        <v>1200</v>
      </c>
      <c r="P14" s="50">
        <f t="shared" si="0"/>
        <v>400</v>
      </c>
    </row>
    <row r="15" spans="1:16" ht="24.95" customHeight="1">
      <c r="A15" s="58" t="s">
        <v>39</v>
      </c>
      <c r="B15" s="61">
        <f t="shared" si="0"/>
        <v>1700</v>
      </c>
      <c r="C15" s="42">
        <f t="shared" si="0"/>
        <v>2400</v>
      </c>
      <c r="D15" s="50">
        <f t="shared" si="0"/>
        <v>3100</v>
      </c>
      <c r="E15" s="61">
        <f t="shared" si="0"/>
        <v>1400</v>
      </c>
      <c r="F15" s="42">
        <f t="shared" si="0"/>
        <v>2200</v>
      </c>
      <c r="G15" s="50">
        <f t="shared" si="0"/>
        <v>2400</v>
      </c>
      <c r="H15" s="61">
        <f t="shared" si="0"/>
        <v>900</v>
      </c>
      <c r="I15" s="42">
        <f t="shared" si="0"/>
        <v>800</v>
      </c>
      <c r="J15" s="42">
        <f t="shared" si="0"/>
        <v>1900</v>
      </c>
      <c r="K15" s="50">
        <f t="shared" si="0"/>
        <v>1400</v>
      </c>
      <c r="L15" s="61">
        <f t="shared" si="0"/>
        <v>1200</v>
      </c>
      <c r="M15" s="42">
        <f t="shared" si="0"/>
        <v>1700</v>
      </c>
      <c r="N15" s="50">
        <f t="shared" si="0"/>
        <v>2000</v>
      </c>
      <c r="O15" s="61">
        <f t="shared" si="0"/>
        <v>1100</v>
      </c>
      <c r="P15" s="50">
        <f t="shared" si="0"/>
        <v>400</v>
      </c>
    </row>
    <row r="16" spans="1:16" ht="30" customHeight="1">
      <c r="A16" s="59" t="s">
        <v>35</v>
      </c>
      <c r="B16" s="51"/>
      <c r="C16" s="43"/>
      <c r="D16" s="52"/>
      <c r="E16" s="51"/>
      <c r="F16" s="43"/>
      <c r="G16" s="52"/>
      <c r="H16" s="51"/>
      <c r="I16" s="43"/>
      <c r="J16" s="43"/>
      <c r="K16" s="52"/>
      <c r="L16" s="51"/>
      <c r="M16" s="43"/>
      <c r="N16" s="52"/>
      <c r="O16" s="51"/>
      <c r="P16" s="52"/>
    </row>
    <row r="17" spans="1:16" ht="24.95" customHeight="1">
      <c r="A17" s="58" t="s">
        <v>40</v>
      </c>
      <c r="B17" s="62" t="s">
        <v>49</v>
      </c>
      <c r="C17" s="44"/>
      <c r="D17" s="53"/>
      <c r="E17" s="62"/>
      <c r="F17" s="44"/>
      <c r="G17" s="53"/>
      <c r="H17" s="62"/>
      <c r="I17" s="44"/>
      <c r="J17" s="44"/>
      <c r="K17" s="53"/>
      <c r="L17" s="62"/>
      <c r="M17" s="44"/>
      <c r="N17" s="53"/>
      <c r="O17" s="62"/>
      <c r="P17" s="53"/>
    </row>
    <row r="18" spans="1:16" ht="30" customHeight="1">
      <c r="A18" s="59" t="s">
        <v>21</v>
      </c>
      <c r="B18" s="51"/>
      <c r="C18" s="43"/>
      <c r="D18" s="52"/>
      <c r="E18" s="51"/>
      <c r="F18" s="43"/>
      <c r="G18" s="52"/>
      <c r="H18" s="51"/>
      <c r="I18" s="43"/>
      <c r="J18" s="43"/>
      <c r="K18" s="52"/>
      <c r="L18" s="51"/>
      <c r="M18" s="43"/>
      <c r="N18" s="52"/>
      <c r="O18" s="51"/>
      <c r="P18" s="52"/>
    </row>
    <row r="19" spans="1:16" ht="24.95" customHeight="1">
      <c r="A19" s="58" t="s">
        <v>26</v>
      </c>
      <c r="B19" s="61">
        <v>250</v>
      </c>
      <c r="C19" s="42">
        <v>350</v>
      </c>
      <c r="D19" s="50">
        <v>350</v>
      </c>
      <c r="E19" s="61">
        <v>250</v>
      </c>
      <c r="F19" s="42">
        <v>350</v>
      </c>
      <c r="G19" s="50">
        <v>350</v>
      </c>
      <c r="H19" s="61">
        <v>250</v>
      </c>
      <c r="I19" s="42">
        <v>250</v>
      </c>
      <c r="J19" s="42">
        <v>250</v>
      </c>
      <c r="K19" s="50">
        <v>250</v>
      </c>
      <c r="L19" s="61">
        <v>250</v>
      </c>
      <c r="M19" s="42">
        <v>250</v>
      </c>
      <c r="N19" s="50">
        <v>250</v>
      </c>
      <c r="O19" s="61">
        <v>200</v>
      </c>
      <c r="P19" s="50">
        <v>150</v>
      </c>
    </row>
    <row r="20" spans="1:16" ht="24.95" customHeight="1">
      <c r="A20" s="58" t="s">
        <v>52</v>
      </c>
      <c r="B20" s="61">
        <v>550</v>
      </c>
      <c r="C20" s="42">
        <v>850</v>
      </c>
      <c r="D20" s="50">
        <v>850</v>
      </c>
      <c r="E20" s="61">
        <v>500</v>
      </c>
      <c r="F20" s="42">
        <v>800</v>
      </c>
      <c r="G20" s="50">
        <v>850</v>
      </c>
      <c r="H20" s="61">
        <v>350</v>
      </c>
      <c r="I20" s="42">
        <v>350</v>
      </c>
      <c r="J20" s="42">
        <v>600</v>
      </c>
      <c r="K20" s="50">
        <v>500</v>
      </c>
      <c r="L20" s="61">
        <v>600</v>
      </c>
      <c r="M20" s="42">
        <v>700</v>
      </c>
      <c r="N20" s="50">
        <v>750</v>
      </c>
      <c r="O20" s="61">
        <v>400</v>
      </c>
      <c r="P20" s="50">
        <v>150</v>
      </c>
    </row>
    <row r="21" spans="1:16" ht="24.95" customHeight="1">
      <c r="A21" s="58" t="s">
        <v>53</v>
      </c>
      <c r="B21" s="61">
        <v>1100</v>
      </c>
      <c r="C21" s="42">
        <v>1700</v>
      </c>
      <c r="D21" s="50">
        <v>1700</v>
      </c>
      <c r="E21" s="61">
        <v>950</v>
      </c>
      <c r="F21" s="42">
        <v>1550</v>
      </c>
      <c r="G21" s="50">
        <v>1650</v>
      </c>
      <c r="H21" s="61">
        <v>700</v>
      </c>
      <c r="I21" s="42">
        <v>650</v>
      </c>
      <c r="J21" s="42">
        <v>1150</v>
      </c>
      <c r="K21" s="50">
        <v>1000</v>
      </c>
      <c r="L21" s="61">
        <v>1150</v>
      </c>
      <c r="M21" s="42">
        <v>1400</v>
      </c>
      <c r="N21" s="50">
        <v>1500</v>
      </c>
      <c r="O21" s="61">
        <v>800</v>
      </c>
      <c r="P21" s="50">
        <v>300</v>
      </c>
    </row>
    <row r="22" spans="1:16" ht="30" customHeight="1">
      <c r="A22" s="59" t="s">
        <v>22</v>
      </c>
      <c r="B22" s="51"/>
      <c r="C22" s="43"/>
      <c r="D22" s="52"/>
      <c r="E22" s="51"/>
      <c r="F22" s="43"/>
      <c r="G22" s="52"/>
      <c r="H22" s="51"/>
      <c r="I22" s="43"/>
      <c r="J22" s="43"/>
      <c r="K22" s="52"/>
      <c r="L22" s="51"/>
      <c r="M22" s="43"/>
      <c r="N22" s="52"/>
      <c r="O22" s="51"/>
      <c r="P22" s="52"/>
    </row>
    <row r="23" spans="1:16" ht="24.95" customHeight="1">
      <c r="A23" s="58" t="s">
        <v>41</v>
      </c>
      <c r="B23" s="51" t="s">
        <v>23</v>
      </c>
      <c r="C23" s="43"/>
      <c r="D23" s="52"/>
      <c r="E23" s="51"/>
      <c r="F23" s="43"/>
      <c r="G23" s="52"/>
      <c r="H23" s="51"/>
      <c r="I23" s="43"/>
      <c r="J23" s="43"/>
      <c r="K23" s="52"/>
      <c r="L23" s="51"/>
      <c r="M23" s="43"/>
      <c r="N23" s="52"/>
      <c r="O23" s="51"/>
      <c r="P23" s="52"/>
    </row>
    <row r="24" spans="1:16" ht="24.95" customHeight="1" thickBot="1">
      <c r="A24" s="60" t="s">
        <v>42</v>
      </c>
      <c r="B24" s="63" t="s">
        <v>24</v>
      </c>
      <c r="C24" s="54"/>
      <c r="D24" s="55"/>
      <c r="E24" s="63"/>
      <c r="F24" s="54"/>
      <c r="G24" s="55"/>
      <c r="H24" s="63"/>
      <c r="I24" s="54"/>
      <c r="J24" s="54"/>
      <c r="K24" s="55"/>
      <c r="L24" s="63"/>
      <c r="M24" s="54"/>
      <c r="N24" s="55"/>
      <c r="O24" s="63"/>
      <c r="P24" s="55"/>
    </row>
    <row r="25" spans="1:16" ht="18.75">
      <c r="A25" s="21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</row>
    <row r="26" spans="1:16" ht="23.25">
      <c r="A26" s="29" t="s">
        <v>28</v>
      </c>
      <c r="B26" s="32"/>
      <c r="C26" s="32"/>
      <c r="D26" s="32"/>
      <c r="E26" s="32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</row>
    <row r="27" spans="1:16" ht="27.75">
      <c r="A27" s="34" t="s">
        <v>54</v>
      </c>
      <c r="B27" s="35"/>
      <c r="C27" s="35"/>
      <c r="D27" s="29"/>
      <c r="E27" s="29"/>
      <c r="F27" s="36"/>
      <c r="G27" s="37" t="s">
        <v>43</v>
      </c>
      <c r="H27" s="38"/>
      <c r="I27" s="38"/>
      <c r="J27" s="38"/>
      <c r="K27" s="38"/>
      <c r="L27" s="38"/>
      <c r="M27" s="38"/>
      <c r="N27" s="38"/>
      <c r="O27" s="38"/>
      <c r="P27" s="38"/>
    </row>
    <row r="28" spans="1:16" ht="27.75">
      <c r="A28" s="34" t="s">
        <v>55</v>
      </c>
      <c r="B28" s="35"/>
      <c r="C28" s="35"/>
      <c r="D28" s="29"/>
      <c r="E28" s="29"/>
      <c r="F28" s="36"/>
      <c r="G28" s="37" t="s">
        <v>44</v>
      </c>
      <c r="H28" s="38"/>
      <c r="I28" s="38"/>
      <c r="J28" s="38"/>
      <c r="K28" s="38"/>
      <c r="L28" s="38"/>
      <c r="M28" s="38"/>
      <c r="N28" s="38"/>
      <c r="O28" s="38"/>
      <c r="P28" s="38"/>
    </row>
    <row r="29" spans="1:16" ht="27.75">
      <c r="A29" s="34" t="s">
        <v>56</v>
      </c>
      <c r="B29" s="35"/>
      <c r="C29" s="35"/>
      <c r="D29" s="37"/>
      <c r="E29" s="37"/>
      <c r="F29" s="39"/>
      <c r="G29" s="37" t="s">
        <v>45</v>
      </c>
      <c r="H29" s="38"/>
      <c r="I29" s="38"/>
      <c r="J29" s="38"/>
      <c r="K29" s="38"/>
      <c r="L29" s="38"/>
      <c r="M29" s="38"/>
      <c r="N29" s="38"/>
      <c r="O29" s="38"/>
      <c r="P29" s="38"/>
    </row>
    <row r="30" spans="1:16" ht="23.25">
      <c r="A30" s="29" t="s">
        <v>29</v>
      </c>
      <c r="B30" s="35"/>
      <c r="C30" s="35"/>
      <c r="D30" s="35"/>
      <c r="E30" s="35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</row>
    <row r="31" spans="1:16" ht="22.5">
      <c r="A31" s="40" t="s">
        <v>57</v>
      </c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</row>
    <row r="32" spans="1:16" ht="42" customHeight="1">
      <c r="A32" s="76" t="s">
        <v>58</v>
      </c>
      <c r="B32" s="76"/>
      <c r="C32" s="76"/>
      <c r="D32" s="76"/>
      <c r="E32" s="76"/>
      <c r="F32" s="76"/>
      <c r="G32" s="76"/>
      <c r="H32" s="76"/>
      <c r="I32" s="76"/>
      <c r="J32" s="76"/>
      <c r="K32" s="76"/>
      <c r="L32" s="76"/>
      <c r="M32" s="76"/>
      <c r="N32" s="76"/>
      <c r="O32" s="76"/>
      <c r="P32" s="76"/>
    </row>
    <row r="33" spans="1:16" ht="50.1" customHeight="1">
      <c r="A33" s="77" t="s">
        <v>59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</row>
  </sheetData>
  <mergeCells count="3">
    <mergeCell ref="A32:P32"/>
    <mergeCell ref="A33:P33"/>
    <mergeCell ref="A1:P1"/>
  </mergeCells>
  <pageMargins left="0.78740157480314965" right="0.39370078740157483" top="0.78740157480314965" bottom="0.39370078740157483" header="0.39370078740157483" footer="0"/>
  <pageSetup paperSize="9" scale="57" orientation="landscape" r:id="rId1"/>
  <headerFooter scaleWithDoc="0">
    <oddHeader>&amp;Rhttps://bergvl.ru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2025-12-31T04:34:02Z</dcterms:modified>
</cp:coreProperties>
</file>